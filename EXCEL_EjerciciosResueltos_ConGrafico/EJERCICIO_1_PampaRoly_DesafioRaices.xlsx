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BISECCION" sheetId="2" r:id="rId1"/>
    <sheet name="NEWTON-RAPHSON" sheetId="3" r:id="rId2"/>
    <sheet name="SECANTE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4" l="1"/>
  <c r="G25" i="4"/>
  <c r="J20" i="4"/>
  <c r="J21" i="4"/>
  <c r="J22" i="4"/>
  <c r="J23" i="4"/>
  <c r="J24" i="4"/>
  <c r="J25" i="4"/>
  <c r="J26" i="4"/>
  <c r="J27" i="4"/>
  <c r="J28" i="4"/>
  <c r="J29" i="4"/>
  <c r="J30" i="4"/>
  <c r="J31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4" i="4"/>
  <c r="J3" i="4"/>
  <c r="G12" i="4"/>
  <c r="G11" i="4"/>
  <c r="F27" i="4" l="1"/>
  <c r="F13" i="4"/>
  <c r="G27" i="4" l="1"/>
  <c r="F28" i="4" s="1"/>
  <c r="G13" i="4"/>
  <c r="F14" i="4" s="1"/>
  <c r="G28" i="4" l="1"/>
  <c r="F29" i="4"/>
  <c r="G29" i="4" s="1"/>
  <c r="F30" i="4"/>
  <c r="G30" i="4" s="1"/>
  <c r="G14" i="4"/>
  <c r="F15" i="4" s="1"/>
  <c r="F31" i="4" l="1"/>
  <c r="G31" i="4" s="1"/>
  <c r="G15" i="4"/>
  <c r="F16" i="4" s="1"/>
  <c r="G16" i="4" l="1"/>
  <c r="F17" i="4" s="1"/>
  <c r="G17" i="4" l="1"/>
  <c r="F18" i="4" s="1"/>
  <c r="G18" i="4" s="1"/>
  <c r="J19" i="3" l="1"/>
  <c r="J18" i="3"/>
  <c r="J17" i="3"/>
  <c r="J16" i="3"/>
  <c r="J15" i="3"/>
  <c r="J14" i="3"/>
  <c r="J13" i="3"/>
  <c r="J12" i="3"/>
  <c r="J11" i="3"/>
  <c r="E23" i="3"/>
  <c r="D23" i="3"/>
  <c r="C24" i="3" s="1"/>
  <c r="E11" i="3"/>
  <c r="D24" i="3" l="1"/>
  <c r="E24" i="3"/>
  <c r="C25" i="3" l="1"/>
  <c r="E25" i="3"/>
  <c r="D25" i="3"/>
  <c r="C26" i="3" s="1"/>
  <c r="E26" i="3" l="1"/>
  <c r="D26" i="3"/>
  <c r="C27" i="3" s="1"/>
  <c r="E27" i="3" l="1"/>
  <c r="D27" i="3"/>
  <c r="C28" i="3" s="1"/>
  <c r="E28" i="3" l="1"/>
  <c r="D28" i="3"/>
  <c r="D11" i="3" l="1"/>
  <c r="C12" i="3" s="1"/>
  <c r="E12" i="3" s="1"/>
  <c r="D12" i="3" l="1"/>
  <c r="C13" i="3" l="1"/>
  <c r="E13" i="3" s="1"/>
  <c r="D13" i="3" l="1"/>
  <c r="C14" i="3" s="1"/>
  <c r="E14" i="3" s="1"/>
  <c r="D14" i="3" l="1"/>
  <c r="C15" i="3" s="1"/>
  <c r="E15" i="3" s="1"/>
  <c r="D15" i="3" l="1"/>
  <c r="C16" i="3" l="1"/>
  <c r="E16" i="3" s="1"/>
  <c r="D16" i="3" l="1"/>
  <c r="H42" i="2" l="1"/>
  <c r="I42" i="2"/>
  <c r="J42" i="2"/>
  <c r="K42" i="2"/>
  <c r="G42" i="2"/>
  <c r="F42" i="2"/>
  <c r="H41" i="2"/>
  <c r="I41" i="2"/>
  <c r="J41" i="2"/>
  <c r="K41" i="2"/>
  <c r="G41" i="2"/>
  <c r="F41" i="2"/>
  <c r="H40" i="2"/>
  <c r="I40" i="2"/>
  <c r="J40" i="2"/>
  <c r="K40" i="2"/>
  <c r="F40" i="2"/>
  <c r="G40" i="2"/>
  <c r="H39" i="2"/>
  <c r="I39" i="2"/>
  <c r="J39" i="2"/>
  <c r="K39" i="2"/>
  <c r="F39" i="2"/>
  <c r="G39" i="2"/>
  <c r="G38" i="2"/>
  <c r="H38" i="2"/>
  <c r="K38" i="2" s="1"/>
  <c r="J38" i="2"/>
  <c r="F38" i="2"/>
  <c r="I38" i="2" s="1"/>
  <c r="F37" i="2"/>
  <c r="H37" i="2"/>
  <c r="K37" i="2" s="1"/>
  <c r="I37" i="2"/>
  <c r="G37" i="2"/>
  <c r="J37" i="2"/>
  <c r="G36" i="2"/>
  <c r="H36" i="2" s="1"/>
  <c r="K36" i="2" s="1"/>
  <c r="F36" i="2"/>
  <c r="I36" i="2"/>
  <c r="F35" i="2"/>
  <c r="H35" i="2"/>
  <c r="K35" i="2"/>
  <c r="I35" i="2"/>
  <c r="G35" i="2"/>
  <c r="J35" i="2"/>
  <c r="H34" i="2"/>
  <c r="I34" i="2"/>
  <c r="J34" i="2"/>
  <c r="K34" i="2"/>
  <c r="F34" i="2"/>
  <c r="G34" i="2"/>
  <c r="H33" i="2"/>
  <c r="I33" i="2"/>
  <c r="J33" i="2"/>
  <c r="K33" i="2"/>
  <c r="G33" i="2"/>
  <c r="F33" i="2"/>
  <c r="H32" i="2"/>
  <c r="I32" i="2"/>
  <c r="J32" i="2"/>
  <c r="K32" i="2"/>
  <c r="G32" i="2"/>
  <c r="F32" i="2"/>
  <c r="H31" i="2"/>
  <c r="I31" i="2"/>
  <c r="J31" i="2"/>
  <c r="K31" i="2"/>
  <c r="G31" i="2"/>
  <c r="F31" i="2"/>
  <c r="H30" i="2"/>
  <c r="I30" i="2"/>
  <c r="J30" i="2"/>
  <c r="K30" i="2"/>
  <c r="G30" i="2"/>
  <c r="F30" i="2"/>
  <c r="C37" i="2"/>
  <c r="C36" i="2"/>
  <c r="C35" i="2"/>
  <c r="C34" i="2"/>
  <c r="C33" i="2"/>
  <c r="C32" i="2"/>
  <c r="C31" i="2"/>
  <c r="C30" i="2"/>
  <c r="J29" i="2"/>
  <c r="I29" i="2"/>
  <c r="H29" i="2"/>
  <c r="K29" i="2" s="1"/>
  <c r="C29" i="2"/>
  <c r="J36" i="2" l="1"/>
  <c r="F12" i="2"/>
  <c r="F13" i="2" s="1"/>
  <c r="J11" i="2"/>
  <c r="I13" i="2" l="1"/>
  <c r="I12" i="2"/>
  <c r="I11" i="2"/>
  <c r="C12" i="2"/>
  <c r="C13" i="2"/>
  <c r="C14" i="2"/>
  <c r="C15" i="2"/>
  <c r="C16" i="2"/>
  <c r="C17" i="2"/>
  <c r="C18" i="2"/>
  <c r="C19" i="2"/>
  <c r="C11" i="2"/>
  <c r="H11" i="2"/>
  <c r="K11" i="2" l="1"/>
  <c r="G12" i="2"/>
  <c r="J12" i="2" s="1"/>
  <c r="H12" i="2"/>
  <c r="G13" i="2" l="1"/>
  <c r="K12" i="2"/>
  <c r="G14" i="2" l="1"/>
  <c r="J13" i="2"/>
  <c r="H13" i="2"/>
  <c r="F14" i="2" l="1"/>
  <c r="K13" i="2"/>
  <c r="J14" i="2"/>
  <c r="G15" i="2"/>
  <c r="J15" i="2" s="1"/>
  <c r="H14" i="2" l="1"/>
  <c r="I14" i="2"/>
  <c r="K14" i="2" l="1"/>
  <c r="F15" i="2"/>
  <c r="F16" i="2" l="1"/>
  <c r="I15" i="2"/>
  <c r="H15" i="2"/>
  <c r="K15" i="2" l="1"/>
  <c r="G16" i="2"/>
  <c r="I16" i="2"/>
  <c r="H16" i="2"/>
  <c r="F17" i="2" l="1"/>
  <c r="K16" i="2"/>
  <c r="G17" i="2"/>
  <c r="J17" i="2" s="1"/>
  <c r="J16" i="2"/>
  <c r="H17" i="2" l="1"/>
  <c r="F18" i="2"/>
  <c r="I17" i="2"/>
  <c r="I18" i="2" l="1"/>
  <c r="G18" i="2"/>
  <c r="K17" i="2"/>
  <c r="J18" i="2" l="1"/>
  <c r="G19" i="2"/>
  <c r="J19" i="2" s="1"/>
  <c r="H18" i="2"/>
  <c r="K18" i="2" l="1"/>
  <c r="F19" i="2"/>
  <c r="F20" i="2" l="1"/>
  <c r="I19" i="2"/>
  <c r="H19" i="2"/>
  <c r="G20" i="2" l="1"/>
  <c r="K19" i="2"/>
  <c r="I20" i="2"/>
  <c r="H20" i="2"/>
  <c r="F21" i="2" l="1"/>
  <c r="K20" i="2"/>
  <c r="G21" i="2"/>
  <c r="J21" i="2" s="1"/>
  <c r="J20" i="2"/>
  <c r="H21" i="2" l="1"/>
  <c r="F22" i="2"/>
  <c r="I21" i="2"/>
  <c r="I22" i="2" l="1"/>
  <c r="K21" i="2"/>
  <c r="G22" i="2"/>
  <c r="J22" i="2" s="1"/>
  <c r="H22" i="2" l="1"/>
  <c r="K22" i="2" s="1"/>
</calcChain>
</file>

<file path=xl/sharedStrings.xml><?xml version="1.0" encoding="utf-8"?>
<sst xmlns="http://schemas.openxmlformats.org/spreadsheetml/2006/main" count="72" uniqueCount="26">
  <si>
    <t>RAICES -&gt; BISECCION</t>
  </si>
  <si>
    <t>f(m)&lt;= tol</t>
  </si>
  <si>
    <t>x</t>
  </si>
  <si>
    <t>y</t>
  </si>
  <si>
    <t>#</t>
  </si>
  <si>
    <t>a</t>
  </si>
  <si>
    <t>b</t>
  </si>
  <si>
    <t>m</t>
  </si>
  <si>
    <t>f(a)</t>
  </si>
  <si>
    <t>f(b)</t>
  </si>
  <si>
    <t>f(m)</t>
  </si>
  <si>
    <t>tol</t>
  </si>
  <si>
    <t>RAIZ</t>
  </si>
  <si>
    <t>Ejercicio 1</t>
  </si>
  <si>
    <t>f(x) = x^3 - e^0.8x = 20</t>
  </si>
  <si>
    <t>x^3 - e^0.8x - 20 = 0</t>
  </si>
  <si>
    <t>Error</t>
  </si>
  <si>
    <t>PRIMERA RAIZ</t>
  </si>
  <si>
    <t>SEGUNDA RAIZ</t>
  </si>
  <si>
    <t>RAICES -&gt; NEWTON-RAPHSON</t>
  </si>
  <si>
    <t xml:space="preserve">  | f(xi)  | &lt;=  tol</t>
  </si>
  <si>
    <t>f(x)</t>
  </si>
  <si>
    <t>f'(x)</t>
  </si>
  <si>
    <t>RAICES -&gt; SECANTE</t>
  </si>
  <si>
    <t>tol = 0,000005</t>
  </si>
  <si>
    <t>tol = 0,0000000005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</si>
</sst>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0" xfId="0" applyFill="1"/>
    <xf numFmtId="0" fontId="0" fillId="0" borderId="0" xfId="0" quotePrefix="1" applyFill="1"/>
    <xf numFmtId="0" fontId="0" fillId="0" borderId="1" xfId="0" quotePrefix="1" applyBorder="1"/>
    <xf numFmtId="0" fontId="0" fillId="3" borderId="1" xfId="0" quotePrefix="1" applyFill="1" applyBorder="1"/>
    <xf numFmtId="0" fontId="0" fillId="0" borderId="2" xfId="0" applyBorder="1"/>
    <xf numFmtId="0" fontId="0" fillId="0" borderId="2" xfId="0" quotePrefix="1" applyBorder="1"/>
    <xf numFmtId="0" fontId="0" fillId="0" borderId="0" xfId="0" applyFill="1" applyBorder="1"/>
    <xf numFmtId="0" fontId="0" fillId="4" borderId="1" xfId="0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2" xfId="0" quotePrefix="1" applyFill="1" applyBorder="1"/>
    <xf numFmtId="0" fontId="0" fillId="0" borderId="1" xfId="0" quotePrefix="1" applyFill="1" applyBorder="1"/>
    <xf numFmtId="0" fontId="0" fillId="0" borderId="0" xfId="0" quotePrefix="1" applyBorder="1"/>
    <xf numFmtId="0" fontId="0" fillId="0" borderId="0" xfId="0" quotePrefix="1" applyFill="1" applyBorder="1"/>
    <xf numFmtId="0" fontId="3" fillId="0" borderId="0" xfId="0" applyFont="1"/>
    <xf numFmtId="0" fontId="4" fillId="0" borderId="0" xfId="0" applyFont="1"/>
    <xf numFmtId="0" fontId="0" fillId="6" borderId="0" xfId="0" applyFill="1"/>
    <xf numFmtId="0" fontId="1" fillId="3" borderId="1" xfId="0" applyFont="1" applyFill="1" applyBorder="1"/>
    <xf numFmtId="0" fontId="0" fillId="0" borderId="0" xfId="0" applyBorder="1"/>
    <xf numFmtId="0" fontId="0" fillId="0" borderId="1" xfId="0" applyFont="1" applyFill="1" applyBorder="1"/>
    <xf numFmtId="0" fontId="1" fillId="7" borderId="1" xfId="0" applyFont="1" applyFill="1" applyBorder="1"/>
    <xf numFmtId="0" fontId="0" fillId="8" borderId="1" xfId="0" applyFill="1" applyBorder="1"/>
    <xf numFmtId="0" fontId="0" fillId="4" borderId="1" xfId="0" quotePrefix="1" applyFill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9" borderId="0" xfId="0" applyFill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Grafico</a:t>
            </a:r>
            <a:r>
              <a:rPr lang="es-BO" baseline="0"/>
              <a:t> Raiz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'NEWTON-RAPHSON'!$J$10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'NEWTON-RAPHSON'!$I$11:$I$19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'NEWTON-RAPHSON'!$J$11:$J$19</c:f>
              <c:numCache>
                <c:formatCode>General</c:formatCode>
                <c:ptCount val="9"/>
                <c:pt idx="0">
                  <c:v>-21</c:v>
                </c:pt>
                <c:pt idx="1">
                  <c:v>-21.225540928492467</c:v>
                </c:pt>
                <c:pt idx="2">
                  <c:v>-16.953032424395115</c:v>
                </c:pt>
                <c:pt idx="3">
                  <c:v>-4.0231763806416048</c:v>
                </c:pt>
                <c:pt idx="4">
                  <c:v>19.467469802890648</c:v>
                </c:pt>
                <c:pt idx="5">
                  <c:v>50.401849966855764</c:v>
                </c:pt>
                <c:pt idx="6">
                  <c:v>74.489582481265032</c:v>
                </c:pt>
                <c:pt idx="7">
                  <c:v>52.573592573847236</c:v>
                </c:pt>
                <c:pt idx="8">
                  <c:v>-109.84503787208223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2F-4A9F-A334-87DEFABA7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038383"/>
        <c:axId val="2089038799"/>
      </c:scatterChart>
      <c:valAx>
        <c:axId val="208903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9038799"/>
        <c:crosses val="autoZero"/>
        <c:crossBetween val="midCat"/>
      </c:valAx>
      <c:valAx>
        <c:axId val="20890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903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Grafico RAIZ EXACTA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SECANTE!$I$3:$I$31</c:f>
              <c:numCache>
                <c:formatCode>General</c:formatCode>
                <c:ptCount val="29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6.5</c:v>
                </c:pt>
                <c:pt idx="22">
                  <c:v>7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9</c:v>
                </c:pt>
                <c:pt idx="27">
                  <c:v>9.5</c:v>
                </c:pt>
                <c:pt idx="28">
                  <c:v>10</c:v>
                </c:pt>
              </c:numCache>
            </c:numRef>
          </c:xVal>
          <c:yVal>
            <c:numRef>
              <c:f>SECANTE!$J$3:$J$31</c:f>
              <c:numCache>
                <c:formatCode>General</c:formatCode>
                <c:ptCount val="29"/>
                <c:pt idx="0">
                  <c:v>-84.04076220397836</c:v>
                </c:pt>
                <c:pt idx="1">
                  <c:v>-62.935810062625215</c:v>
                </c:pt>
                <c:pt idx="2">
                  <c:v>-47.090717953289413</c:v>
                </c:pt>
                <c:pt idx="3">
                  <c:v>-35.760335283236614</c:v>
                </c:pt>
                <c:pt idx="4">
                  <c:v>-28.201896517994655</c:v>
                </c:pt>
                <c:pt idx="5">
                  <c:v>-23.676194211912204</c:v>
                </c:pt>
                <c:pt idx="6">
                  <c:v>-21.449328964117221</c:v>
                </c:pt>
                <c:pt idx="7">
                  <c:v>-20.795320046035638</c:v>
                </c:pt>
                <c:pt idx="8">
                  <c:v>-21</c:v>
                </c:pt>
                <c:pt idx="9">
                  <c:v>-21.36682469764127</c:v>
                </c:pt>
                <c:pt idx="10">
                  <c:v>-21.225540928492467</c:v>
                </c:pt>
                <c:pt idx="11">
                  <c:v>-19.945116922736549</c:v>
                </c:pt>
                <c:pt idx="12">
                  <c:v>-16.953032424395115</c:v>
                </c:pt>
                <c:pt idx="13">
                  <c:v>-11.76405609893065</c:v>
                </c:pt>
                <c:pt idx="14">
                  <c:v>-4.0231763806416048</c:v>
                </c:pt>
                <c:pt idx="15">
                  <c:v>6.4303532289029448</c:v>
                </c:pt>
                <c:pt idx="16">
                  <c:v>19.467469802890648</c:v>
                </c:pt>
                <c:pt idx="17">
                  <c:v>34.526765556322012</c:v>
                </c:pt>
                <c:pt idx="18">
                  <c:v>50.401849966855764</c:v>
                </c:pt>
                <c:pt idx="19">
                  <c:v>64.924131335031859</c:v>
                </c:pt>
                <c:pt idx="20">
                  <c:v>74.489582481265032</c:v>
                </c:pt>
                <c:pt idx="21">
                  <c:v>73.352758124848776</c:v>
                </c:pt>
                <c:pt idx="22">
                  <c:v>52.573592573847236</c:v>
                </c:pt>
                <c:pt idx="23">
                  <c:v>-1.5537934927351102</c:v>
                </c:pt>
                <c:pt idx="24">
                  <c:v>-109.84503787208223</c:v>
                </c:pt>
                <c:pt idx="25">
                  <c:v>-303.72229165041836</c:v>
                </c:pt>
                <c:pt idx="26">
                  <c:v>-630.43076439441802</c:v>
                </c:pt>
                <c:pt idx="27">
                  <c:v>-1160.820895104119</c:v>
                </c:pt>
                <c:pt idx="28">
                  <c:v>-2000.9579870417283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FF-408F-A8B3-A735EA335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138111"/>
        <c:axId val="2089039631"/>
      </c:scatterChart>
      <c:valAx>
        <c:axId val="200313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89039631"/>
        <c:crosses val="autoZero"/>
        <c:crossBetween val="midCat"/>
      </c:valAx>
      <c:valAx>
        <c:axId val="20890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0313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613474</xdr:colOff>
      <xdr:row>8</xdr:row>
      <xdr:rowOff>80721</xdr:rowOff>
    </xdr:from>
    <xdr:to>
      <xdr:col>20</xdr:col>
      <xdr:colOff>218676</xdr:colOff>
      <xdr:row>28</xdr:row>
      <xdr:rowOff>183095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1991" y="1759704"/>
          <a:ext cx="5675371" cy="4025383"/>
        </a:xfrm>
        <a:prstGeom prst="rect">
          <a:avLst/>
        </a:prstGeom>
      </xdr:spPr>
    </xdr:pic>
    <xdr:clientData/>
  </xdr:twoCellAnchor>
  <xdr:twoCellAnchor editAs="oneCell">
    <xdr:from>
      <xdr:col>4</xdr:col>
      <xdr:colOff>177584</xdr:colOff>
      <xdr:row>0</xdr:row>
      <xdr:rowOff>129153</xdr:rowOff>
    </xdr:from>
    <xdr:to>
      <xdr:col>15</xdr:col>
      <xdr:colOff>678719</xdr:colOff>
      <xdr:row>5</xdr:row>
      <xdr:rowOff>60741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5931" y="129153"/>
          <a:ext cx="8847619" cy="9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161383</xdr:colOff>
      <xdr:row>1</xdr:row>
      <xdr:rowOff>59330</xdr:rowOff>
    </xdr:from>
    <xdr:to>
      <xdr:col>9</xdr:col>
      <xdr:colOff>8503</xdr:colOff>
      <xdr:row>6</xdr:row>
      <xdr:rowOff>111356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5289" y="247846"/>
          <a:ext cx="3716652" cy="1044213"/>
        </a:xfrm>
        <a:prstGeom prst="rect">
          <a:avLst/>
        </a:prstGeom>
      </xdr:spPr>
    </xdr:pic>
    <xdr:clientData/>
  </xdr:twoCellAnchor>
  <xdr:twoCellAnchor>
    <xdr:from>
      <xdr:col>7</xdr:col>
      <xdr:colOff>244078</xdr:colOff>
      <xdr:row>20</xdr:row>
      <xdr:rowOff>86914</xdr:rowOff>
    </xdr:from>
    <xdr:to>
      <xdr:col>13</xdr:col>
      <xdr:colOff>232172</xdr:colOff>
      <xdr:row>35</xdr:row>
      <xdr:rowOff>2380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734996</xdr:colOff>
      <xdr:row>3</xdr:row>
      <xdr:rowOff>162807</xdr:rowOff>
    </xdr:from>
    <xdr:to>
      <xdr:col>16</xdr:col>
      <xdr:colOff>708720</xdr:colOff>
      <xdr:row>18</xdr:row>
      <xdr:rowOff>119518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rcicio2"/>
    </sheetNames>
    <sheetDataSet>
      <sheetData sheetId="0">
        <row r="9">
          <cell r="B9">
            <v>0</v>
          </cell>
          <cell r="C9">
            <v>2</v>
          </cell>
        </row>
        <row r="10">
          <cell r="B10">
            <v>1</v>
          </cell>
          <cell r="C10">
            <v>2.938276615812609</v>
          </cell>
        </row>
        <row r="11">
          <cell r="B11">
            <v>2</v>
          </cell>
          <cell r="C11">
            <v>3.5244129544236893</v>
          </cell>
        </row>
        <row r="12">
          <cell r="B12">
            <v>3</v>
          </cell>
          <cell r="C12">
            <v>3.4924849598121632</v>
          </cell>
        </row>
        <row r="13">
          <cell r="B13">
            <v>4</v>
          </cell>
          <cell r="C13">
            <v>2.7278922804770449</v>
          </cell>
        </row>
        <row r="14">
          <cell r="B14">
            <v>5</v>
          </cell>
          <cell r="C14">
            <v>1.2954164323118698</v>
          </cell>
        </row>
        <row r="15">
          <cell r="B15">
            <v>6</v>
          </cell>
          <cell r="C15">
            <v>-0.57663997582039839</v>
          </cell>
        </row>
        <row r="16">
          <cell r="B16">
            <v>7</v>
          </cell>
          <cell r="C16">
            <v>-2.5523496830688597</v>
          </cell>
        </row>
        <row r="17">
          <cell r="B17">
            <v>8</v>
          </cell>
          <cell r="C17">
            <v>-4.2704074859237844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3"/>
  <sheetViews>
    <sheetView tabSelected="1" zoomScale="72" zoomScaleNormal="295" workbookViewId="0">
      <selection activeCell="H22" sqref="H22"/>
    </sheetView>
  </sheetViews>
  <sheetFormatPr baseColWidth="10" defaultRowHeight="15" x14ac:dyDescent="0.25"/>
  <cols>
    <col min="4" max="4" width="6.7109375" customWidth="1"/>
  </cols>
  <sheetData>
    <row r="2" spans="2:12" ht="21" x14ac:dyDescent="0.35">
      <c r="B2" s="1" t="s">
        <v>0</v>
      </c>
      <c r="C2" s="1"/>
      <c r="D2" s="1"/>
    </row>
    <row r="4" spans="2:12" x14ac:dyDescent="0.25">
      <c r="B4" t="s">
        <v>13</v>
      </c>
    </row>
    <row r="5" spans="2:12" x14ac:dyDescent="0.25">
      <c r="B5" t="s">
        <v>14</v>
      </c>
    </row>
    <row r="6" spans="2:12" x14ac:dyDescent="0.25">
      <c r="B6" t="s">
        <v>15</v>
      </c>
    </row>
    <row r="8" spans="2:12" ht="18.75" x14ac:dyDescent="0.3">
      <c r="E8" s="20" t="s">
        <v>17</v>
      </c>
      <c r="J8" t="s">
        <v>1</v>
      </c>
    </row>
    <row r="10" spans="2:12" x14ac:dyDescent="0.25">
      <c r="B10" s="3" t="s">
        <v>2</v>
      </c>
      <c r="C10" s="3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</row>
    <row r="11" spans="2:12" x14ac:dyDescent="0.25">
      <c r="B11" s="3">
        <v>0</v>
      </c>
      <c r="C11" s="7">
        <f>B11^3-EXP(0.8*B11)-20</f>
        <v>-21</v>
      </c>
      <c r="E11" s="3">
        <v>0</v>
      </c>
      <c r="F11" s="3">
        <v>3</v>
      </c>
      <c r="G11" s="3">
        <v>4</v>
      </c>
      <c r="H11" s="3">
        <f t="shared" ref="H11:H21" si="0">(F11+G11)/2</f>
        <v>3.5</v>
      </c>
      <c r="I11" s="7">
        <f t="shared" ref="I11:I19" si="1">F11^3-EXP(0.8*F11)-20</f>
        <v>-4.0231763806416048</v>
      </c>
      <c r="J11" s="7">
        <f t="shared" ref="J11:J19" si="2">G11^3-EXP(0.8*G11)-20</f>
        <v>19.467469802890648</v>
      </c>
      <c r="K11" s="7">
        <f t="shared" ref="K11:K19" si="3">H11^3-EXP(0.8*H11)-20</f>
        <v>6.4303532289029448</v>
      </c>
      <c r="L11" s="3">
        <v>5.0000000000000001E-3</v>
      </c>
    </row>
    <row r="12" spans="2:12" x14ac:dyDescent="0.25">
      <c r="B12" s="14">
        <v>1</v>
      </c>
      <c r="C12" s="7">
        <f t="shared" ref="C12:C19" si="4">B12^3-EXP(0.8*B12)-20</f>
        <v>-21.225540928492467</v>
      </c>
      <c r="E12" s="3">
        <v>1</v>
      </c>
      <c r="F12" s="3">
        <f>F11</f>
        <v>3</v>
      </c>
      <c r="G12" s="3">
        <f>H11</f>
        <v>3.5</v>
      </c>
      <c r="H12" s="3">
        <f t="shared" si="0"/>
        <v>3.25</v>
      </c>
      <c r="I12" s="7">
        <f t="shared" si="1"/>
        <v>-4.0231763806416048</v>
      </c>
      <c r="J12" s="7">
        <f t="shared" si="2"/>
        <v>6.4303532289029448</v>
      </c>
      <c r="K12" s="7">
        <f t="shared" si="3"/>
        <v>0.86438696499831025</v>
      </c>
      <c r="L12" s="3"/>
    </row>
    <row r="13" spans="2:12" x14ac:dyDescent="0.25">
      <c r="B13" s="14">
        <v>2</v>
      </c>
      <c r="C13" s="7">
        <f t="shared" si="4"/>
        <v>-16.953032424395115</v>
      </c>
      <c r="E13" s="3">
        <v>2</v>
      </c>
      <c r="F13" s="3">
        <f>F12</f>
        <v>3</v>
      </c>
      <c r="G13" s="3">
        <f>H12</f>
        <v>3.25</v>
      </c>
      <c r="H13" s="3">
        <f t="shared" si="0"/>
        <v>3.125</v>
      </c>
      <c r="I13" s="7">
        <f t="shared" si="1"/>
        <v>-4.0231763806416048</v>
      </c>
      <c r="J13" s="7">
        <f t="shared" si="2"/>
        <v>0.86438696499831025</v>
      </c>
      <c r="K13" s="7">
        <f t="shared" si="3"/>
        <v>-1.664915835703475</v>
      </c>
      <c r="L13" s="3"/>
    </row>
    <row r="14" spans="2:12" x14ac:dyDescent="0.25">
      <c r="B14" s="12">
        <v>3</v>
      </c>
      <c r="C14" s="7">
        <f t="shared" si="4"/>
        <v>-4.0231763806416048</v>
      </c>
      <c r="E14" s="3">
        <v>3</v>
      </c>
      <c r="F14" s="3">
        <f>H13</f>
        <v>3.125</v>
      </c>
      <c r="G14" s="3">
        <f>G13</f>
        <v>3.25</v>
      </c>
      <c r="H14" s="3">
        <f t="shared" si="0"/>
        <v>3.1875</v>
      </c>
      <c r="I14" s="7">
        <f t="shared" si="1"/>
        <v>-1.664915835703475</v>
      </c>
      <c r="J14" s="7">
        <f t="shared" si="2"/>
        <v>0.86438696499831025</v>
      </c>
      <c r="K14" s="7">
        <f t="shared" si="3"/>
        <v>-0.42160573578803451</v>
      </c>
      <c r="L14" s="3"/>
    </row>
    <row r="15" spans="2:12" x14ac:dyDescent="0.25">
      <c r="B15" s="12">
        <v>4</v>
      </c>
      <c r="C15" s="7">
        <f t="shared" si="4"/>
        <v>19.467469802890648</v>
      </c>
      <c r="E15" s="3">
        <v>4</v>
      </c>
      <c r="F15" s="3">
        <f>H14</f>
        <v>3.1875</v>
      </c>
      <c r="G15" s="3">
        <f>G14</f>
        <v>3.25</v>
      </c>
      <c r="H15" s="3">
        <f t="shared" si="0"/>
        <v>3.21875</v>
      </c>
      <c r="I15" s="7">
        <f t="shared" si="1"/>
        <v>-0.42160573578803451</v>
      </c>
      <c r="J15" s="7">
        <f t="shared" si="2"/>
        <v>0.86438696499831025</v>
      </c>
      <c r="K15" s="7">
        <f t="shared" si="3"/>
        <v>0.21606443330685821</v>
      </c>
      <c r="L15" s="3"/>
    </row>
    <row r="16" spans="2:12" x14ac:dyDescent="0.25">
      <c r="B16" s="3">
        <v>5</v>
      </c>
      <c r="C16" s="7">
        <f t="shared" si="4"/>
        <v>50.401849966855764</v>
      </c>
      <c r="E16" s="3">
        <v>5</v>
      </c>
      <c r="F16" s="3">
        <f>F15</f>
        <v>3.1875</v>
      </c>
      <c r="G16" s="3">
        <f>H15</f>
        <v>3.21875</v>
      </c>
      <c r="H16" s="3">
        <f t="shared" si="0"/>
        <v>3.203125</v>
      </c>
      <c r="I16" s="7">
        <f t="shared" si="1"/>
        <v>-0.42160573578803451</v>
      </c>
      <c r="J16" s="7">
        <f t="shared" si="2"/>
        <v>0.21606443330685821</v>
      </c>
      <c r="K16" s="7">
        <f t="shared" si="3"/>
        <v>-0.10410353645155368</v>
      </c>
      <c r="L16" s="3"/>
    </row>
    <row r="17" spans="2:12" x14ac:dyDescent="0.25">
      <c r="B17" s="3">
        <v>6</v>
      </c>
      <c r="C17" s="7">
        <f t="shared" si="4"/>
        <v>74.489582481265032</v>
      </c>
      <c r="E17" s="3">
        <v>6</v>
      </c>
      <c r="F17" s="3">
        <f>H16</f>
        <v>3.203125</v>
      </c>
      <c r="G17" s="3">
        <f>G16</f>
        <v>3.21875</v>
      </c>
      <c r="H17" s="3">
        <f t="shared" si="0"/>
        <v>3.2109375</v>
      </c>
      <c r="I17" s="7">
        <f t="shared" si="1"/>
        <v>-0.10410353645155368</v>
      </c>
      <c r="J17" s="7">
        <f t="shared" si="2"/>
        <v>0.21606443330685821</v>
      </c>
      <c r="K17" s="7">
        <f t="shared" si="3"/>
        <v>5.5647382134296208E-2</v>
      </c>
      <c r="L17" s="3"/>
    </row>
    <row r="18" spans="2:12" x14ac:dyDescent="0.25">
      <c r="B18" s="3">
        <v>7</v>
      </c>
      <c r="C18" s="7">
        <f t="shared" si="4"/>
        <v>52.573592573847236</v>
      </c>
      <c r="E18" s="9">
        <v>7</v>
      </c>
      <c r="F18" s="9">
        <f>F17</f>
        <v>3.203125</v>
      </c>
      <c r="G18" s="9">
        <f>H17</f>
        <v>3.2109375</v>
      </c>
      <c r="H18" s="13">
        <f t="shared" si="0"/>
        <v>3.20703125</v>
      </c>
      <c r="I18" s="10">
        <f t="shared" si="1"/>
        <v>-0.10410353645155368</v>
      </c>
      <c r="J18" s="10">
        <f t="shared" si="2"/>
        <v>5.5647382134296208E-2</v>
      </c>
      <c r="K18" s="15">
        <f t="shared" si="3"/>
        <v>-2.4311363882567605E-2</v>
      </c>
      <c r="L18" s="9"/>
    </row>
    <row r="19" spans="2:12" x14ac:dyDescent="0.25">
      <c r="B19" s="3">
        <v>8</v>
      </c>
      <c r="C19" s="7">
        <f t="shared" si="4"/>
        <v>-109.84503787208223</v>
      </c>
      <c r="E19" s="3">
        <v>8</v>
      </c>
      <c r="F19" s="3">
        <f>H18</f>
        <v>3.20703125</v>
      </c>
      <c r="G19" s="3">
        <f>G18</f>
        <v>3.2109375</v>
      </c>
      <c r="H19" s="14">
        <f t="shared" si="0"/>
        <v>3.208984375</v>
      </c>
      <c r="I19" s="7">
        <f t="shared" si="1"/>
        <v>-2.4311363882567605E-2</v>
      </c>
      <c r="J19" s="7">
        <f t="shared" si="2"/>
        <v>5.5647382134296208E-2</v>
      </c>
      <c r="K19" s="16">
        <f t="shared" si="3"/>
        <v>1.5647189915139137E-2</v>
      </c>
      <c r="L19" s="3"/>
    </row>
    <row r="20" spans="2:12" x14ac:dyDescent="0.25">
      <c r="B20" s="5"/>
      <c r="C20" s="6"/>
      <c r="E20" s="9">
        <v>9</v>
      </c>
      <c r="F20" s="14">
        <f>F19</f>
        <v>3.20703125</v>
      </c>
      <c r="G20" s="14">
        <f>H19</f>
        <v>3.208984375</v>
      </c>
      <c r="H20" s="14">
        <f t="shared" si="0"/>
        <v>3.2080078125</v>
      </c>
      <c r="I20" s="7">
        <f t="shared" ref="I20" si="5">F20^3-EXP(0.8*F20)-20</f>
        <v>-2.4311363882567605E-2</v>
      </c>
      <c r="J20" s="7">
        <f t="shared" ref="J20" si="6">G20^3-EXP(0.8*G20)-20</f>
        <v>1.5647189915139137E-2</v>
      </c>
      <c r="K20" s="16">
        <f t="shared" ref="K20" si="7">H20^3-EXP(0.8*H20)-20</f>
        <v>-4.3372920982065466E-3</v>
      </c>
      <c r="L20" s="14"/>
    </row>
    <row r="21" spans="2:12" x14ac:dyDescent="0.25">
      <c r="B21" s="5"/>
      <c r="C21" s="6"/>
      <c r="E21" s="3">
        <v>10</v>
      </c>
      <c r="F21" s="14">
        <f>H20</f>
        <v>3.2080078125</v>
      </c>
      <c r="G21" s="14">
        <f>G20</f>
        <v>3.208984375</v>
      </c>
      <c r="H21" s="14">
        <f t="shared" si="0"/>
        <v>3.20849609375</v>
      </c>
      <c r="I21" s="7">
        <f t="shared" ref="I21" si="8">F21^3-EXP(0.8*F21)-20</f>
        <v>-4.3372920982065466E-3</v>
      </c>
      <c r="J21" s="7">
        <f t="shared" ref="J21" si="9">G21^3-EXP(0.8*G21)-20</f>
        <v>1.5647189915139137E-2</v>
      </c>
      <c r="K21" s="16">
        <f t="shared" ref="K21" si="10">H21^3-EXP(0.8*H21)-20</f>
        <v>5.6536476686304127E-3</v>
      </c>
      <c r="L21" s="14"/>
    </row>
    <row r="22" spans="2:12" x14ac:dyDescent="0.25">
      <c r="B22" s="5"/>
      <c r="C22" s="6"/>
      <c r="E22" s="3">
        <v>11</v>
      </c>
      <c r="F22" s="14">
        <f>F21</f>
        <v>3.2080078125</v>
      </c>
      <c r="G22" s="14">
        <f>H21</f>
        <v>3.20849609375</v>
      </c>
      <c r="H22" s="4">
        <f t="shared" ref="H22" si="11">(F22+G22)/2</f>
        <v>3.208251953125</v>
      </c>
      <c r="I22" s="7">
        <f t="shared" ref="I22" si="12">F22^3-EXP(0.8*F22)-20</f>
        <v>-4.3372920982065466E-3</v>
      </c>
      <c r="J22" s="7">
        <f t="shared" ref="J22" si="13">G22^3-EXP(0.8*G22)-20</f>
        <v>5.6536476686304127E-3</v>
      </c>
      <c r="K22" s="8">
        <f t="shared" ref="K22" si="14">H22^3-EXP(0.8*H22)-20</f>
        <v>6.5785247038974148E-4</v>
      </c>
      <c r="L22" s="14"/>
    </row>
    <row r="23" spans="2:12" x14ac:dyDescent="0.25">
      <c r="B23" s="5"/>
      <c r="C23" s="6"/>
      <c r="E23" s="11"/>
      <c r="F23" s="11"/>
      <c r="G23" s="11"/>
      <c r="H23" s="11" t="s">
        <v>12</v>
      </c>
      <c r="I23" s="17"/>
      <c r="J23" s="17"/>
      <c r="K23" s="18" t="s">
        <v>16</v>
      </c>
      <c r="L23" s="11"/>
    </row>
    <row r="24" spans="2:12" x14ac:dyDescent="0.25">
      <c r="B24" s="5"/>
      <c r="C24" s="6"/>
      <c r="E24" s="11"/>
      <c r="F24" s="11"/>
      <c r="G24" s="11"/>
      <c r="H24" s="11"/>
      <c r="I24" s="17"/>
      <c r="J24" s="17"/>
      <c r="K24" s="18"/>
      <c r="L24" s="11"/>
    </row>
    <row r="25" spans="2:12" x14ac:dyDescent="0.25">
      <c r="B25" s="5"/>
      <c r="C25" s="6"/>
      <c r="E25" s="11"/>
      <c r="F25" s="11"/>
      <c r="G25" s="11"/>
      <c r="H25" s="11"/>
      <c r="I25" s="17"/>
      <c r="J25" s="17"/>
      <c r="K25" s="18"/>
      <c r="L25" s="11"/>
    </row>
    <row r="26" spans="2:12" ht="18.75" x14ac:dyDescent="0.3">
      <c r="E26" s="20" t="s">
        <v>18</v>
      </c>
      <c r="J26" t="s">
        <v>1</v>
      </c>
    </row>
    <row r="28" spans="2:12" x14ac:dyDescent="0.25">
      <c r="B28" s="3" t="s">
        <v>2</v>
      </c>
      <c r="C28" s="3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9</v>
      </c>
      <c r="K28" s="2" t="s">
        <v>10</v>
      </c>
      <c r="L28" s="2" t="s">
        <v>11</v>
      </c>
    </row>
    <row r="29" spans="2:12" x14ac:dyDescent="0.25">
      <c r="B29" s="3">
        <v>0</v>
      </c>
      <c r="C29" s="7">
        <f>B29^3-EXP(0.8*B29)-20</f>
        <v>-21</v>
      </c>
      <c r="E29" s="3">
        <v>0</v>
      </c>
      <c r="F29" s="3">
        <v>7</v>
      </c>
      <c r="G29" s="3">
        <v>8</v>
      </c>
      <c r="H29" s="3">
        <f t="shared" ref="H29:H40" si="15">(F29+G29)/2</f>
        <v>7.5</v>
      </c>
      <c r="I29" s="7">
        <f t="shared" ref="I29:I40" si="16">F29^3-EXP(0.8*F29)-20</f>
        <v>52.573592573847236</v>
      </c>
      <c r="J29" s="7">
        <f t="shared" ref="J29:J40" si="17">G29^3-EXP(0.8*G29)-20</f>
        <v>-109.84503787208223</v>
      </c>
      <c r="K29" s="7">
        <f t="shared" ref="K29:K40" si="18">H29^3-EXP(0.8*H29)-20</f>
        <v>-1.5537934927351102</v>
      </c>
      <c r="L29" s="3">
        <v>5.0000000000000001E-3</v>
      </c>
    </row>
    <row r="30" spans="2:12" x14ac:dyDescent="0.25">
      <c r="B30" s="14">
        <v>1</v>
      </c>
      <c r="C30" s="7">
        <f t="shared" ref="C30:C37" si="19">B30^3-EXP(0.8*B30)-20</f>
        <v>-21.225540928492467</v>
      </c>
      <c r="E30" s="3">
        <v>1</v>
      </c>
      <c r="F30" s="3">
        <f>F29</f>
        <v>7</v>
      </c>
      <c r="G30" s="3">
        <f>H29</f>
        <v>7.5</v>
      </c>
      <c r="H30" s="3">
        <f t="shared" ref="H30" si="20">(F30+G30)/2</f>
        <v>7.25</v>
      </c>
      <c r="I30" s="7">
        <f t="shared" ref="I30" si="21">F30^3-EXP(0.8*F30)-20</f>
        <v>52.573592573847236</v>
      </c>
      <c r="J30" s="7">
        <f t="shared" ref="J30" si="22">G30^3-EXP(0.8*G30)-20</f>
        <v>-1.5537934927351102</v>
      </c>
      <c r="K30" s="7">
        <f t="shared" ref="K30" si="23">H30^3-EXP(0.8*H30)-20</f>
        <v>30.778565090351094</v>
      </c>
      <c r="L30" s="3"/>
    </row>
    <row r="31" spans="2:12" x14ac:dyDescent="0.25">
      <c r="B31" s="14">
        <v>2</v>
      </c>
      <c r="C31" s="7">
        <f t="shared" si="19"/>
        <v>-16.953032424395115</v>
      </c>
      <c r="E31" s="3">
        <v>2</v>
      </c>
      <c r="F31" s="3">
        <f>H30</f>
        <v>7.25</v>
      </c>
      <c r="G31" s="3">
        <f>G30</f>
        <v>7.5</v>
      </c>
      <c r="H31" s="3">
        <f t="shared" ref="H31" si="24">(F31+G31)/2</f>
        <v>7.375</v>
      </c>
      <c r="I31" s="7">
        <f t="shared" ref="I31" si="25">F31^3-EXP(0.8*F31)-20</f>
        <v>30.778565090351094</v>
      </c>
      <c r="J31" s="7">
        <f t="shared" ref="J31" si="26">G31^3-EXP(0.8*G31)-20</f>
        <v>-1.5537934927351102</v>
      </c>
      <c r="K31" s="7">
        <f t="shared" ref="K31" si="27">H31^3-EXP(0.8*H31)-20</f>
        <v>16.093391509671108</v>
      </c>
      <c r="L31" s="3"/>
    </row>
    <row r="32" spans="2:12" x14ac:dyDescent="0.25">
      <c r="B32" s="14">
        <v>3</v>
      </c>
      <c r="C32" s="7">
        <f t="shared" si="19"/>
        <v>-4.0231763806416048</v>
      </c>
      <c r="E32" s="3">
        <v>3</v>
      </c>
      <c r="F32" s="3">
        <f>H31</f>
        <v>7.375</v>
      </c>
      <c r="G32" s="3">
        <f>G31</f>
        <v>7.5</v>
      </c>
      <c r="H32" s="3">
        <f t="shared" ref="H32" si="28">(F32+G32)/2</f>
        <v>7.4375</v>
      </c>
      <c r="I32" s="7">
        <f t="shared" ref="I32" si="29">F32^3-EXP(0.8*F32)-20</f>
        <v>16.093391509671108</v>
      </c>
      <c r="J32" s="7">
        <f t="shared" ref="J32" si="30">G32^3-EXP(0.8*G32)-20</f>
        <v>-1.5537934927351102</v>
      </c>
      <c r="K32" s="7">
        <f t="shared" ref="K32" si="31">H32^3-EXP(0.8*H32)-20</f>
        <v>7.6624324232631125</v>
      </c>
      <c r="L32" s="3"/>
    </row>
    <row r="33" spans="2:12" x14ac:dyDescent="0.25">
      <c r="B33" s="14">
        <v>4</v>
      </c>
      <c r="C33" s="7">
        <f t="shared" si="19"/>
        <v>19.467469802890648</v>
      </c>
      <c r="E33" s="3">
        <v>4</v>
      </c>
      <c r="F33" s="3">
        <f>H32</f>
        <v>7.4375</v>
      </c>
      <c r="G33" s="3">
        <f>G32</f>
        <v>7.5</v>
      </c>
      <c r="H33" s="3">
        <f t="shared" ref="H33" si="32">(F33+G33)/2</f>
        <v>7.46875</v>
      </c>
      <c r="I33" s="7">
        <f t="shared" ref="I33" si="33">F33^3-EXP(0.8*F33)-20</f>
        <v>7.6624324232631125</v>
      </c>
      <c r="J33" s="7">
        <f t="shared" ref="J33" si="34">G33^3-EXP(0.8*G33)-20</f>
        <v>-1.5537934927351102</v>
      </c>
      <c r="K33" s="7">
        <f t="shared" ref="K33" si="35">H33^3-EXP(0.8*H33)-20</f>
        <v>3.1554035475757587</v>
      </c>
      <c r="L33" s="3"/>
    </row>
    <row r="34" spans="2:12" x14ac:dyDescent="0.25">
      <c r="B34" s="3">
        <v>5</v>
      </c>
      <c r="C34" s="7">
        <f t="shared" si="19"/>
        <v>50.401849966855764</v>
      </c>
      <c r="E34" s="3">
        <v>5</v>
      </c>
      <c r="F34" s="3">
        <f>H33</f>
        <v>7.46875</v>
      </c>
      <c r="G34" s="3">
        <f>G33</f>
        <v>7.5</v>
      </c>
      <c r="H34" s="3">
        <f t="shared" ref="H34:H38" si="36">(F34+G34)/2</f>
        <v>7.484375</v>
      </c>
      <c r="I34" s="7">
        <f t="shared" ref="I34:I38" si="37">F34^3-EXP(0.8*F34)-20</f>
        <v>3.1554035475757587</v>
      </c>
      <c r="J34" s="7">
        <f t="shared" ref="J34:J38" si="38">G34^3-EXP(0.8*G34)-20</f>
        <v>-1.5537934927351102</v>
      </c>
      <c r="K34" s="7">
        <f t="shared" ref="K34:K38" si="39">H34^3-EXP(0.8*H34)-20</f>
        <v>0.8264500659092846</v>
      </c>
      <c r="L34" s="3"/>
    </row>
    <row r="35" spans="2:12" x14ac:dyDescent="0.25">
      <c r="B35" s="3">
        <v>6</v>
      </c>
      <c r="C35" s="7">
        <f t="shared" si="19"/>
        <v>74.489582481265032</v>
      </c>
      <c r="E35" s="3">
        <v>6</v>
      </c>
      <c r="F35" s="3">
        <f>H34</f>
        <v>7.484375</v>
      </c>
      <c r="G35" s="3">
        <f>G34</f>
        <v>7.5</v>
      </c>
      <c r="H35" s="3">
        <f t="shared" si="36"/>
        <v>7.4921875</v>
      </c>
      <c r="I35" s="7">
        <f t="shared" si="37"/>
        <v>0.8264500659092846</v>
      </c>
      <c r="J35" s="7">
        <f t="shared" si="38"/>
        <v>-1.5537934927351102</v>
      </c>
      <c r="K35" s="7">
        <f t="shared" si="39"/>
        <v>-0.35721317290773413</v>
      </c>
      <c r="L35" s="3"/>
    </row>
    <row r="36" spans="2:12" x14ac:dyDescent="0.25">
      <c r="B36" s="12">
        <v>7</v>
      </c>
      <c r="C36" s="7">
        <f t="shared" si="19"/>
        <v>52.573592573847236</v>
      </c>
      <c r="E36" s="9">
        <v>7</v>
      </c>
      <c r="F36" s="9">
        <f>F35</f>
        <v>7.484375</v>
      </c>
      <c r="G36" s="9">
        <f>H35</f>
        <v>7.4921875</v>
      </c>
      <c r="H36" s="13">
        <f t="shared" si="36"/>
        <v>7.48828125</v>
      </c>
      <c r="I36" s="10">
        <f t="shared" si="37"/>
        <v>0.8264500659092846</v>
      </c>
      <c r="J36" s="10">
        <f t="shared" si="38"/>
        <v>-0.35721317290773413</v>
      </c>
      <c r="K36" s="15">
        <f t="shared" si="39"/>
        <v>0.23622714772449172</v>
      </c>
      <c r="L36" s="9"/>
    </row>
    <row r="37" spans="2:12" x14ac:dyDescent="0.25">
      <c r="B37" s="12">
        <v>8</v>
      </c>
      <c r="C37" s="7">
        <f t="shared" si="19"/>
        <v>-109.84503787208223</v>
      </c>
      <c r="E37" s="3">
        <v>8</v>
      </c>
      <c r="F37" s="3">
        <f>H36</f>
        <v>7.48828125</v>
      </c>
      <c r="G37" s="3">
        <f>G36</f>
        <v>7.4921875</v>
      </c>
      <c r="H37" s="14">
        <f t="shared" si="36"/>
        <v>7.490234375</v>
      </c>
      <c r="I37" s="7">
        <f t="shared" si="37"/>
        <v>0.23622714772449172</v>
      </c>
      <c r="J37" s="7">
        <f t="shared" si="38"/>
        <v>-0.35721317290773413</v>
      </c>
      <c r="K37" s="16">
        <f t="shared" si="39"/>
        <v>-6.0090097039847024E-2</v>
      </c>
      <c r="L37" s="3"/>
    </row>
    <row r="38" spans="2:12" x14ac:dyDescent="0.25">
      <c r="B38" s="5"/>
      <c r="C38" s="6"/>
      <c r="E38" s="9">
        <v>9</v>
      </c>
      <c r="F38" s="14">
        <f>F37</f>
        <v>7.48828125</v>
      </c>
      <c r="G38" s="14">
        <f>H37</f>
        <v>7.490234375</v>
      </c>
      <c r="H38" s="14">
        <f t="shared" si="36"/>
        <v>7.4892578125</v>
      </c>
      <c r="I38" s="7">
        <f t="shared" si="37"/>
        <v>0.23622714772449172</v>
      </c>
      <c r="J38" s="7">
        <f t="shared" si="38"/>
        <v>-6.0090097039847024E-2</v>
      </c>
      <c r="K38" s="16">
        <f t="shared" si="39"/>
        <v>8.8169161606231228E-2</v>
      </c>
      <c r="L38" s="14"/>
    </row>
    <row r="39" spans="2:12" x14ac:dyDescent="0.25">
      <c r="B39" s="5"/>
      <c r="C39" s="6"/>
      <c r="E39" s="3">
        <v>10</v>
      </c>
      <c r="F39" s="14">
        <f>H38</f>
        <v>7.4892578125</v>
      </c>
      <c r="G39" s="14">
        <f>G38</f>
        <v>7.490234375</v>
      </c>
      <c r="H39" s="14">
        <f t="shared" ref="H39" si="40">(F39+G39)/2</f>
        <v>7.48974609375</v>
      </c>
      <c r="I39" s="7">
        <f t="shared" ref="I39" si="41">F39^3-EXP(0.8*F39)-20</f>
        <v>8.8169161606231228E-2</v>
      </c>
      <c r="J39" s="7">
        <f t="shared" ref="J39" si="42">G39^3-EXP(0.8*G39)-20</f>
        <v>-6.0090097039847024E-2</v>
      </c>
      <c r="K39" s="16">
        <f t="shared" ref="K39" si="43">H39^3-EXP(0.8*H39)-20</f>
        <v>1.406470292135964E-2</v>
      </c>
      <c r="L39" s="14"/>
    </row>
    <row r="40" spans="2:12" x14ac:dyDescent="0.25">
      <c r="B40" s="5"/>
      <c r="C40" s="6"/>
      <c r="E40" s="3">
        <v>11</v>
      </c>
      <c r="F40" s="14">
        <f>H39</f>
        <v>7.48974609375</v>
      </c>
      <c r="G40" s="14">
        <f>G39</f>
        <v>7.490234375</v>
      </c>
      <c r="H40" s="14">
        <f t="shared" ref="H40" si="44">(F40+G40)/2</f>
        <v>7.489990234375</v>
      </c>
      <c r="I40" s="7">
        <f t="shared" ref="I40" si="45">F40^3-EXP(0.8*F40)-20</f>
        <v>1.406470292135964E-2</v>
      </c>
      <c r="J40" s="7">
        <f t="shared" ref="J40" si="46">G40^3-EXP(0.8*G40)-20</f>
        <v>-6.0090097039847024E-2</v>
      </c>
      <c r="K40" s="16">
        <f t="shared" ref="K40" si="47">H40^3-EXP(0.8*H40)-20</f>
        <v>-2.300640295266021E-2</v>
      </c>
      <c r="L40" s="14"/>
    </row>
    <row r="41" spans="2:12" x14ac:dyDescent="0.25">
      <c r="B41" s="5"/>
      <c r="C41" s="6"/>
      <c r="E41" s="3">
        <v>12</v>
      </c>
      <c r="F41" s="14">
        <f>F40</f>
        <v>7.48974609375</v>
      </c>
      <c r="G41" s="14">
        <f>H40</f>
        <v>7.489990234375</v>
      </c>
      <c r="H41" s="14">
        <f t="shared" ref="H41" si="48">(F41+G41)/2</f>
        <v>7.4898681640625</v>
      </c>
      <c r="I41" s="7">
        <f t="shared" ref="I41" si="49">F41^3-EXP(0.8*F41)-20</f>
        <v>1.406470292135964E-2</v>
      </c>
      <c r="J41" s="7">
        <f t="shared" ref="J41" si="50">G41^3-EXP(0.8*G41)-20</f>
        <v>-2.300640295266021E-2</v>
      </c>
      <c r="K41" s="16">
        <f t="shared" ref="K41" si="51">H41^3-EXP(0.8*H41)-20</f>
        <v>-4.4692766700791253E-3</v>
      </c>
      <c r="L41" s="14"/>
    </row>
    <row r="42" spans="2:12" x14ac:dyDescent="0.25">
      <c r="E42" s="3">
        <v>13</v>
      </c>
      <c r="F42" s="3">
        <f>F41</f>
        <v>7.48974609375</v>
      </c>
      <c r="G42" s="3">
        <f>H41</f>
        <v>7.4898681640625</v>
      </c>
      <c r="H42" s="4">
        <f t="shared" ref="H42" si="52">(F42+G42)/2</f>
        <v>7.48980712890625</v>
      </c>
      <c r="I42" s="7">
        <f t="shared" ref="I42" si="53">F42^3-EXP(0.8*F42)-20</f>
        <v>1.406470292135964E-2</v>
      </c>
      <c r="J42" s="7">
        <f t="shared" ref="J42" si="54">G42^3-EXP(0.8*G42)-20</f>
        <v>-4.4692766700791253E-3</v>
      </c>
      <c r="K42" s="8">
        <f t="shared" ref="K42" si="55">H42^3-EXP(0.8*H42)-20</f>
        <v>4.7981064394662098E-3</v>
      </c>
      <c r="L42" s="3"/>
    </row>
    <row r="43" spans="2:12" x14ac:dyDescent="0.25">
      <c r="H43" t="s">
        <v>12</v>
      </c>
      <c r="K43" t="s">
        <v>16</v>
      </c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topLeftCell="A6" zoomScale="96" workbookViewId="0">
      <selection activeCell="C15" sqref="C15"/>
    </sheetView>
  </sheetViews>
  <sheetFormatPr baseColWidth="10" defaultRowHeight="15" x14ac:dyDescent="0.25"/>
  <cols>
    <col min="3" max="4" width="13.42578125" bestFit="1" customWidth="1"/>
    <col min="5" max="5" width="12" bestFit="1" customWidth="1"/>
    <col min="6" max="6" width="11.5703125" bestFit="1" customWidth="1"/>
  </cols>
  <sheetData>
    <row r="2" spans="2:10" ht="18.75" x14ac:dyDescent="0.3">
      <c r="B2" s="20" t="s">
        <v>19</v>
      </c>
      <c r="C2" s="20"/>
    </row>
    <row r="4" spans="2:10" x14ac:dyDescent="0.25">
      <c r="B4" t="s">
        <v>13</v>
      </c>
    </row>
    <row r="5" spans="2:10" x14ac:dyDescent="0.25">
      <c r="B5" t="s">
        <v>14</v>
      </c>
    </row>
    <row r="6" spans="2:10" x14ac:dyDescent="0.25">
      <c r="B6" t="s">
        <v>15</v>
      </c>
    </row>
    <row r="8" spans="2:10" ht="15.75" x14ac:dyDescent="0.25">
      <c r="B8" s="19" t="s">
        <v>17</v>
      </c>
    </row>
    <row r="9" spans="2:10" x14ac:dyDescent="0.25">
      <c r="F9" s="21" t="s">
        <v>20</v>
      </c>
      <c r="G9" s="21"/>
    </row>
    <row r="10" spans="2:10" x14ac:dyDescent="0.25">
      <c r="B10" s="25" t="s">
        <v>4</v>
      </c>
      <c r="C10" s="25" t="s">
        <v>2</v>
      </c>
      <c r="D10" s="25" t="s">
        <v>21</v>
      </c>
      <c r="E10" s="25" t="s">
        <v>22</v>
      </c>
      <c r="F10" s="25" t="s">
        <v>11</v>
      </c>
      <c r="I10" s="3" t="s">
        <v>2</v>
      </c>
      <c r="J10" s="3" t="s">
        <v>3</v>
      </c>
    </row>
    <row r="11" spans="2:10" x14ac:dyDescent="0.25">
      <c r="B11" s="3">
        <v>0</v>
      </c>
      <c r="C11" s="3">
        <v>3</v>
      </c>
      <c r="D11" s="7">
        <f>C11^3-EXP(0.8*C11)-20</f>
        <v>-4.0231763806416048</v>
      </c>
      <c r="E11" s="3">
        <f>3*C11^2 - 0.8*EXP(0.8*C11)</f>
        <v>18.181458895486713</v>
      </c>
      <c r="F11">
        <v>4.9999999999999998E-7</v>
      </c>
      <c r="I11" s="3">
        <v>0</v>
      </c>
      <c r="J11" s="7">
        <f>I11^3-EXP(0.8*I11)-20</f>
        <v>-21</v>
      </c>
    </row>
    <row r="12" spans="2:10" x14ac:dyDescent="0.25">
      <c r="B12" s="3">
        <v>1</v>
      </c>
      <c r="C12" s="3">
        <f>C11-(D11/E11)</f>
        <v>3.2212790735753498</v>
      </c>
      <c r="D12" s="7">
        <f t="shared" ref="D12:D34" si="0">C12^3-EXP(0.8*C12)-20</f>
        <v>0.26813753807199703</v>
      </c>
      <c r="E12" s="3">
        <f t="shared" ref="E12:E18" si="1">3*C12^2 - 0.8*EXP(0.8*C12)</f>
        <v>20.603586923612387</v>
      </c>
      <c r="I12" s="14">
        <v>1</v>
      </c>
      <c r="J12" s="7">
        <f t="shared" ref="J12:J19" si="2">I12^3-EXP(0.8*I12)-20</f>
        <v>-21.225540928492467</v>
      </c>
    </row>
    <row r="13" spans="2:10" x14ac:dyDescent="0.25">
      <c r="B13" s="3">
        <v>2</v>
      </c>
      <c r="C13" s="3">
        <f t="shared" ref="C13:C16" si="3">C12-(D12/E12)</f>
        <v>3.2082649542831065</v>
      </c>
      <c r="D13" s="7">
        <f t="shared" si="0"/>
        <v>9.2387586991549142E-4</v>
      </c>
      <c r="E13" s="3">
        <f t="shared" si="1"/>
        <v>20.461586566493899</v>
      </c>
      <c r="I13" s="14">
        <v>2</v>
      </c>
      <c r="J13" s="7">
        <f t="shared" si="2"/>
        <v>-16.953032424395115</v>
      </c>
    </row>
    <row r="14" spans="2:10" x14ac:dyDescent="0.25">
      <c r="B14" s="3">
        <v>3</v>
      </c>
      <c r="C14" s="3">
        <f t="shared" si="3"/>
        <v>3.2082198025610289</v>
      </c>
      <c r="D14" s="7">
        <f t="shared" si="0"/>
        <v>1.1126843446618295E-8</v>
      </c>
      <c r="E14" s="3">
        <f t="shared" si="1"/>
        <v>20.461093701114216</v>
      </c>
      <c r="I14" s="12">
        <v>3</v>
      </c>
      <c r="J14" s="7">
        <f t="shared" si="2"/>
        <v>-4.0231763806416048</v>
      </c>
    </row>
    <row r="15" spans="2:10" x14ac:dyDescent="0.25">
      <c r="B15" s="3">
        <v>4</v>
      </c>
      <c r="C15" s="22">
        <f t="shared" si="3"/>
        <v>3.2082198020172239</v>
      </c>
      <c r="D15" s="7">
        <f t="shared" si="0"/>
        <v>0</v>
      </c>
      <c r="E15" s="3">
        <f t="shared" si="1"/>
        <v>20.46109369517816</v>
      </c>
      <c r="I15" s="12">
        <v>4</v>
      </c>
      <c r="J15" s="7">
        <f t="shared" si="2"/>
        <v>19.467469802890648</v>
      </c>
    </row>
    <row r="16" spans="2:10" x14ac:dyDescent="0.25">
      <c r="B16" s="3">
        <v>5</v>
      </c>
      <c r="C16" s="3">
        <f t="shared" si="3"/>
        <v>3.2082198020172239</v>
      </c>
      <c r="D16" s="7">
        <f t="shared" si="0"/>
        <v>0</v>
      </c>
      <c r="E16" s="3">
        <f t="shared" si="1"/>
        <v>20.46109369517816</v>
      </c>
      <c r="I16" s="3">
        <v>5</v>
      </c>
      <c r="J16" s="7">
        <f t="shared" si="2"/>
        <v>50.401849966855764</v>
      </c>
    </row>
    <row r="17" spans="2:10" x14ac:dyDescent="0.25">
      <c r="B17" s="23"/>
      <c r="C17" s="23" t="s">
        <v>12</v>
      </c>
      <c r="D17" s="17" t="s">
        <v>16</v>
      </c>
      <c r="E17" s="23"/>
      <c r="I17" s="3">
        <v>6</v>
      </c>
      <c r="J17" s="7">
        <f t="shared" si="2"/>
        <v>74.489582481265032</v>
      </c>
    </row>
    <row r="18" spans="2:10" x14ac:dyDescent="0.25">
      <c r="B18" s="23"/>
      <c r="C18" s="23"/>
      <c r="D18" s="17"/>
      <c r="E18" s="23"/>
      <c r="I18" s="12">
        <v>7</v>
      </c>
      <c r="J18" s="7">
        <f t="shared" si="2"/>
        <v>52.573592573847236</v>
      </c>
    </row>
    <row r="19" spans="2:10" x14ac:dyDescent="0.25">
      <c r="B19" s="23"/>
      <c r="C19" s="23"/>
      <c r="D19" s="17"/>
      <c r="E19" s="23"/>
      <c r="I19" s="12">
        <v>8</v>
      </c>
      <c r="J19" s="7">
        <f t="shared" si="2"/>
        <v>-109.84503787208223</v>
      </c>
    </row>
    <row r="20" spans="2:10" ht="15.75" x14ac:dyDescent="0.25">
      <c r="B20" s="19" t="s">
        <v>18</v>
      </c>
    </row>
    <row r="21" spans="2:10" x14ac:dyDescent="0.25">
      <c r="F21" s="21" t="s">
        <v>20</v>
      </c>
      <c r="G21" s="21"/>
    </row>
    <row r="22" spans="2:10" x14ac:dyDescent="0.25">
      <c r="B22" s="25" t="s">
        <v>4</v>
      </c>
      <c r="C22" s="25" t="s">
        <v>2</v>
      </c>
      <c r="D22" s="25" t="s">
        <v>21</v>
      </c>
      <c r="E22" s="25" t="s">
        <v>22</v>
      </c>
      <c r="F22" s="25" t="s">
        <v>11</v>
      </c>
    </row>
    <row r="23" spans="2:10" x14ac:dyDescent="0.25">
      <c r="B23" s="3">
        <v>0</v>
      </c>
      <c r="C23" s="3">
        <v>7</v>
      </c>
      <c r="D23" s="7">
        <f>C23^3-EXP(0.8*C23)-20</f>
        <v>52.573592573847236</v>
      </c>
      <c r="E23" s="3">
        <f>3*C23^2 - 0.8*EXP(0.8*C23)</f>
        <v>-69.341125940922211</v>
      </c>
      <c r="F23">
        <v>4.9999999999999998E-7</v>
      </c>
    </row>
    <row r="24" spans="2:10" x14ac:dyDescent="0.25">
      <c r="B24" s="3">
        <v>1</v>
      </c>
      <c r="C24" s="3">
        <f>C23-(D23/E23)</f>
        <v>7.7581877545316944</v>
      </c>
      <c r="D24" s="7">
        <f t="shared" si="0"/>
        <v>-49.025976273836591</v>
      </c>
      <c r="E24" s="3">
        <f t="shared" ref="E24:E29" si="4">3*C24^2 - 0.8*EXP(0.8*C24)</f>
        <v>-216.22136150166909</v>
      </c>
    </row>
    <row r="25" spans="2:10" x14ac:dyDescent="0.25">
      <c r="B25" s="3">
        <v>2</v>
      </c>
      <c r="C25" s="3">
        <f t="shared" ref="C25:C28" si="5">C24-(D24/E24)</f>
        <v>7.5314480099784804</v>
      </c>
      <c r="D25" s="7">
        <f t="shared" si="0"/>
        <v>-6.5030365759858455</v>
      </c>
      <c r="E25" s="3">
        <f t="shared" si="4"/>
        <v>-160.79760969992125</v>
      </c>
    </row>
    <row r="26" spans="2:10" x14ac:dyDescent="0.25">
      <c r="B26" s="3">
        <v>3</v>
      </c>
      <c r="C26" s="3">
        <f t="shared" si="5"/>
        <v>7.4910056390494493</v>
      </c>
      <c r="D26" s="7">
        <f t="shared" si="0"/>
        <v>-0.17732383498918125</v>
      </c>
      <c r="E26" s="3">
        <f t="shared" si="4"/>
        <v>-152.08357947827099</v>
      </c>
    </row>
    <row r="27" spans="2:10" x14ac:dyDescent="0.25">
      <c r="B27" s="3">
        <v>4</v>
      </c>
      <c r="C27" s="24">
        <f t="shared" si="5"/>
        <v>7.4898396759941512</v>
      </c>
      <c r="D27" s="7">
        <f t="shared" si="0"/>
        <v>-1.4364149870971232E-4</v>
      </c>
      <c r="E27" s="3">
        <f t="shared" si="4"/>
        <v>-151.83723339633323</v>
      </c>
    </row>
    <row r="28" spans="2:10" x14ac:dyDescent="0.25">
      <c r="B28" s="3">
        <v>5</v>
      </c>
      <c r="C28" s="22">
        <f t="shared" si="5"/>
        <v>7.4898387299712592</v>
      </c>
      <c r="D28" s="7">
        <f t="shared" si="0"/>
        <v>-9.4530605565523729E-11</v>
      </c>
      <c r="E28" s="3">
        <f t="shared" si="4"/>
        <v>-151.83703362928554</v>
      </c>
    </row>
    <row r="29" spans="2:10" x14ac:dyDescent="0.25">
      <c r="B29" s="23"/>
      <c r="C29" s="23" t="s">
        <v>12</v>
      </c>
      <c r="D29" s="17" t="s">
        <v>16</v>
      </c>
      <c r="E29" s="23"/>
    </row>
    <row r="30" spans="2:10" x14ac:dyDescent="0.25">
      <c r="B30" s="23"/>
      <c r="C30" s="23"/>
      <c r="D30" s="17"/>
      <c r="E30" s="23"/>
    </row>
    <row r="31" spans="2:10" x14ac:dyDescent="0.25">
      <c r="B31" s="23"/>
      <c r="C31" s="23"/>
      <c r="D31" s="17"/>
      <c r="E31" s="23"/>
    </row>
    <row r="32" spans="2:10" x14ac:dyDescent="0.25">
      <c r="B32" s="23"/>
      <c r="C32" s="23"/>
      <c r="D32" s="17"/>
      <c r="E32" s="23"/>
    </row>
    <row r="33" spans="2:5" x14ac:dyDescent="0.25">
      <c r="B33" s="23"/>
      <c r="C33" s="23"/>
      <c r="D33" s="17"/>
      <c r="E33" s="23"/>
    </row>
    <row r="34" spans="2:5" x14ac:dyDescent="0.25">
      <c r="B34" s="23"/>
      <c r="C34" s="23"/>
      <c r="D34" s="17"/>
      <c r="E34" s="23"/>
    </row>
    <row r="35" spans="2:5" x14ac:dyDescent="0.25">
      <c r="B35" s="23"/>
      <c r="C35" s="23"/>
      <c r="D35" s="23"/>
      <c r="E35" s="2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9"/>
  <sheetViews>
    <sheetView topLeftCell="B1" zoomScale="91" workbookViewId="0">
      <selection activeCell="F16" sqref="F16"/>
    </sheetView>
  </sheetViews>
  <sheetFormatPr baseColWidth="10" defaultRowHeight="15" x14ac:dyDescent="0.25"/>
  <sheetData>
    <row r="1" spans="2:10" x14ac:dyDescent="0.25">
      <c r="B1" s="29" t="s">
        <v>23</v>
      </c>
      <c r="C1" s="29"/>
      <c r="D1" s="29"/>
    </row>
    <row r="2" spans="2:10" x14ac:dyDescent="0.25">
      <c r="B2" s="29"/>
      <c r="C2" s="29"/>
      <c r="D2" s="29"/>
      <c r="I2" s="3" t="s">
        <v>2</v>
      </c>
      <c r="J2" s="3" t="s">
        <v>3</v>
      </c>
    </row>
    <row r="3" spans="2:10" x14ac:dyDescent="0.25">
      <c r="I3" s="3">
        <v>-4</v>
      </c>
      <c r="J3" s="7">
        <f>I3^3-EXP(0.8*I3)-20</f>
        <v>-84.04076220397836</v>
      </c>
    </row>
    <row r="4" spans="2:10" x14ac:dyDescent="0.25">
      <c r="B4" t="s">
        <v>13</v>
      </c>
      <c r="I4" s="3">
        <v>-3.5</v>
      </c>
      <c r="J4" s="7">
        <f>I4^3-EXP(0.8*I4)-20</f>
        <v>-62.935810062625215</v>
      </c>
    </row>
    <row r="5" spans="2:10" x14ac:dyDescent="0.25">
      <c r="B5" t="s">
        <v>14</v>
      </c>
      <c r="I5" s="3">
        <v>-3</v>
      </c>
      <c r="J5" s="7">
        <f>I5^3-EXP(0.8*I5)-20</f>
        <v>-47.090717953289413</v>
      </c>
    </row>
    <row r="6" spans="2:10" x14ac:dyDescent="0.25">
      <c r="B6" t="s">
        <v>15</v>
      </c>
      <c r="I6" s="3">
        <v>-2.5</v>
      </c>
      <c r="J6" s="7">
        <f>I6^3-EXP(0.8*I6)-20</f>
        <v>-35.760335283236614</v>
      </c>
    </row>
    <row r="7" spans="2:10" x14ac:dyDescent="0.25">
      <c r="I7" s="3">
        <v>-2</v>
      </c>
      <c r="J7" s="7">
        <f>I7^3-EXP(0.8*I7)-20</f>
        <v>-28.201896517994655</v>
      </c>
    </row>
    <row r="8" spans="2:10" x14ac:dyDescent="0.25">
      <c r="E8" t="s">
        <v>25</v>
      </c>
      <c r="I8" s="3">
        <v>-1.5</v>
      </c>
      <c r="J8" s="7">
        <f>I8^3-EXP(0.8*I8)-20</f>
        <v>-23.676194211912204</v>
      </c>
    </row>
    <row r="9" spans="2:10" x14ac:dyDescent="0.25">
      <c r="B9" s="28" t="s">
        <v>17</v>
      </c>
      <c r="C9" s="28"/>
      <c r="I9" s="3">
        <v>-1</v>
      </c>
      <c r="J9" s="7">
        <f>I9^3-EXP(0.8*I9)-20</f>
        <v>-21.449328964117221</v>
      </c>
    </row>
    <row r="10" spans="2:10" ht="15" customHeight="1" x14ac:dyDescent="0.25">
      <c r="B10" s="28"/>
      <c r="C10" s="28"/>
      <c r="E10" s="26" t="s">
        <v>4</v>
      </c>
      <c r="F10" s="26" t="s">
        <v>2</v>
      </c>
      <c r="G10" s="26" t="s">
        <v>21</v>
      </c>
      <c r="I10" s="3">
        <v>-0.5</v>
      </c>
      <c r="J10" s="7">
        <f>I10^3-EXP(0.8*I10)-20</f>
        <v>-20.795320046035638</v>
      </c>
    </row>
    <row r="11" spans="2:10" ht="15" customHeight="1" x14ac:dyDescent="0.25">
      <c r="B11" s="30"/>
      <c r="C11" s="30"/>
      <c r="E11" s="3">
        <v>0</v>
      </c>
      <c r="F11" s="3">
        <v>3</v>
      </c>
      <c r="G11" s="7">
        <f>F11^3-EXP(0.8*F11)-20</f>
        <v>-4.0231763806416048</v>
      </c>
      <c r="I11" s="3">
        <v>0</v>
      </c>
      <c r="J11" s="7">
        <f>I11^3-EXP(0.8*I11)-20</f>
        <v>-21</v>
      </c>
    </row>
    <row r="12" spans="2:10" x14ac:dyDescent="0.25">
      <c r="E12" s="3">
        <v>1</v>
      </c>
      <c r="F12" s="3">
        <v>3.5</v>
      </c>
      <c r="G12" s="7">
        <f t="shared" ref="G12:G18" si="0">F12^3-EXP(0.8*F12)-20</f>
        <v>6.4303532289029448</v>
      </c>
      <c r="I12" s="3">
        <v>0.5</v>
      </c>
      <c r="J12" s="7">
        <f>I12^3-EXP(0.8*I12)-20</f>
        <v>-21.36682469764127</v>
      </c>
    </row>
    <row r="13" spans="2:10" x14ac:dyDescent="0.25">
      <c r="E13" s="3">
        <v>2</v>
      </c>
      <c r="F13" s="3">
        <f>F12-((G12*(F11-F12))/(G11-G12))</f>
        <v>3.192431481562374</v>
      </c>
      <c r="G13" s="7">
        <f t="shared" si="0"/>
        <v>-0.32168538701967719</v>
      </c>
      <c r="I13" s="3">
        <v>1</v>
      </c>
      <c r="J13" s="7">
        <f>I13^3-EXP(0.8*I13)-20</f>
        <v>-21.225540928492467</v>
      </c>
    </row>
    <row r="14" spans="2:10" x14ac:dyDescent="0.25">
      <c r="E14" s="3">
        <v>3</v>
      </c>
      <c r="F14" s="3">
        <f t="shared" ref="F14:F18" si="1">F13-((G13*(F12-F13))/(G12-G13))</f>
        <v>3.2070848778944621</v>
      </c>
      <c r="G14" s="7">
        <f t="shared" si="0"/>
        <v>-2.3214758603273822E-2</v>
      </c>
      <c r="I14" s="3">
        <v>1.5</v>
      </c>
      <c r="J14" s="7">
        <f>I14^3-EXP(0.8*I14)-20</f>
        <v>-19.945116922736549</v>
      </c>
    </row>
    <row r="15" spans="2:10" x14ac:dyDescent="0.25">
      <c r="E15" s="3">
        <v>4</v>
      </c>
      <c r="F15" s="3">
        <f t="shared" si="1"/>
        <v>3.2082246049770644</v>
      </c>
      <c r="G15" s="7">
        <f t="shared" si="0"/>
        <v>9.8273937219062191E-5</v>
      </c>
      <c r="I15" s="3">
        <v>2</v>
      </c>
      <c r="J15" s="7">
        <f>I15^3-EXP(0.8*I15)-20</f>
        <v>-16.953032424395115</v>
      </c>
    </row>
    <row r="16" spans="2:10" x14ac:dyDescent="0.25">
      <c r="E16" s="3">
        <v>5</v>
      </c>
      <c r="F16" s="4">
        <f t="shared" si="1"/>
        <v>3.2082198005627278</v>
      </c>
      <c r="G16" s="7">
        <f t="shared" si="0"/>
        <v>-2.9760585107396764E-8</v>
      </c>
      <c r="I16" s="3">
        <v>2.5</v>
      </c>
      <c r="J16" s="7">
        <f>I16^3-EXP(0.8*I16)-20</f>
        <v>-11.76405609893065</v>
      </c>
    </row>
    <row r="17" spans="2:10" x14ac:dyDescent="0.25">
      <c r="E17" s="3">
        <v>6</v>
      </c>
      <c r="F17" s="3">
        <f t="shared" si="1"/>
        <v>3.2082198020172221</v>
      </c>
      <c r="G17" s="7">
        <f t="shared" si="0"/>
        <v>-3.5527136788005009E-14</v>
      </c>
      <c r="I17" s="12">
        <v>3</v>
      </c>
      <c r="J17" s="27">
        <f>I17^3-EXP(0.8*I17)-20</f>
        <v>-4.0231763806416048</v>
      </c>
    </row>
    <row r="18" spans="2:10" x14ac:dyDescent="0.25">
      <c r="E18" s="3">
        <v>7</v>
      </c>
      <c r="F18" s="3">
        <f t="shared" si="1"/>
        <v>3.2082198020172239</v>
      </c>
      <c r="G18" s="7">
        <f t="shared" si="0"/>
        <v>0</v>
      </c>
      <c r="I18" s="14">
        <v>3.5</v>
      </c>
      <c r="J18" s="16">
        <f>I18^3-EXP(0.8*I18)-20</f>
        <v>6.4303532289029448</v>
      </c>
    </row>
    <row r="19" spans="2:10" x14ac:dyDescent="0.25">
      <c r="E19" s="3">
        <v>8</v>
      </c>
      <c r="F19" s="3"/>
      <c r="G19" s="3"/>
      <c r="I19" s="14">
        <v>4</v>
      </c>
      <c r="J19" s="16">
        <f>I19^3-EXP(0.8*I19)-20</f>
        <v>19.467469802890648</v>
      </c>
    </row>
    <row r="20" spans="2:10" x14ac:dyDescent="0.25">
      <c r="I20" s="14">
        <v>4.5</v>
      </c>
      <c r="J20" s="16">
        <f t="shared" ref="J20:J31" si="2">I20^3-EXP(0.8*I20)-20</f>
        <v>34.526765556322012</v>
      </c>
    </row>
    <row r="21" spans="2:10" x14ac:dyDescent="0.25">
      <c r="I21" s="14">
        <v>5</v>
      </c>
      <c r="J21" s="16">
        <f t="shared" si="2"/>
        <v>50.401849966855764</v>
      </c>
    </row>
    <row r="22" spans="2:10" x14ac:dyDescent="0.25">
      <c r="B22" s="31" t="s">
        <v>18</v>
      </c>
      <c r="C22" s="31"/>
      <c r="D22" s="31"/>
      <c r="E22" t="s">
        <v>24</v>
      </c>
      <c r="G22" s="32"/>
      <c r="I22" s="14">
        <v>5.5</v>
      </c>
      <c r="J22" s="16">
        <f t="shared" si="2"/>
        <v>64.924131335031859</v>
      </c>
    </row>
    <row r="23" spans="2:10" x14ac:dyDescent="0.25">
      <c r="B23" s="31"/>
      <c r="C23" s="31"/>
      <c r="D23" s="31"/>
      <c r="I23" s="14">
        <v>6</v>
      </c>
      <c r="J23" s="16">
        <f t="shared" si="2"/>
        <v>74.489582481265032</v>
      </c>
    </row>
    <row r="24" spans="2:10" x14ac:dyDescent="0.25">
      <c r="E24" s="33" t="s">
        <v>4</v>
      </c>
      <c r="F24" s="33" t="s">
        <v>2</v>
      </c>
      <c r="G24" s="33" t="s">
        <v>21</v>
      </c>
      <c r="I24" s="14">
        <v>6.5</v>
      </c>
      <c r="J24" s="16">
        <f t="shared" si="2"/>
        <v>73.352758124848776</v>
      </c>
    </row>
    <row r="25" spans="2:10" x14ac:dyDescent="0.25">
      <c r="E25" s="3">
        <v>0</v>
      </c>
      <c r="F25" s="3">
        <v>7</v>
      </c>
      <c r="G25" s="7">
        <f>F25^3-EXP(0.8*F25)-20</f>
        <v>52.573592573847236</v>
      </c>
      <c r="I25" s="12">
        <v>7</v>
      </c>
      <c r="J25" s="27">
        <f t="shared" si="2"/>
        <v>52.573592573847236</v>
      </c>
    </row>
    <row r="26" spans="2:10" x14ac:dyDescent="0.25">
      <c r="E26" s="3">
        <v>1</v>
      </c>
      <c r="F26" s="3">
        <v>7.5</v>
      </c>
      <c r="G26" s="7">
        <f t="shared" ref="G26:G34" si="3">F26^3-EXP(0.8*F26)-20</f>
        <v>-1.5537934927351102</v>
      </c>
      <c r="I26" s="12">
        <v>7.5</v>
      </c>
      <c r="J26" s="27">
        <f t="shared" si="2"/>
        <v>-1.5537934927351102</v>
      </c>
    </row>
    <row r="27" spans="2:10" x14ac:dyDescent="0.25">
      <c r="E27" s="3">
        <v>2</v>
      </c>
      <c r="F27" s="3">
        <f>F26-(G26*(F25-F26)/(G25-G26))</f>
        <v>7.4856468822379139</v>
      </c>
      <c r="G27" s="7">
        <f t="shared" si="3"/>
        <v>0.63462491214266947</v>
      </c>
      <c r="I27" s="14">
        <v>8</v>
      </c>
      <c r="J27" s="16">
        <f t="shared" si="2"/>
        <v>-109.84503787208223</v>
      </c>
    </row>
    <row r="28" spans="2:10" x14ac:dyDescent="0.25">
      <c r="E28" s="3">
        <v>3</v>
      </c>
      <c r="F28" s="3">
        <f t="shared" ref="F28:F31" si="4">F27-(G27*(F26-F27)/(G26-G27))</f>
        <v>7.4898091786609537</v>
      </c>
      <c r="G28" s="7">
        <f t="shared" si="3"/>
        <v>4.4868909998285744E-3</v>
      </c>
      <c r="I28" s="14">
        <v>8.5</v>
      </c>
      <c r="J28" s="16">
        <f t="shared" si="2"/>
        <v>-303.72229165041836</v>
      </c>
    </row>
    <row r="29" spans="2:10" x14ac:dyDescent="0.25">
      <c r="E29" s="3">
        <v>4</v>
      </c>
      <c r="F29" s="3">
        <f t="shared" si="4"/>
        <v>7.4898388162478513</v>
      </c>
      <c r="G29" s="7">
        <f t="shared" si="3"/>
        <v>-1.3100076898808766E-5</v>
      </c>
      <c r="I29" s="14">
        <v>9</v>
      </c>
      <c r="J29" s="16">
        <f t="shared" si="2"/>
        <v>-630.43076439441802</v>
      </c>
    </row>
    <row r="30" spans="2:10" x14ac:dyDescent="0.25">
      <c r="E30" s="3">
        <v>5</v>
      </c>
      <c r="F30" s="4">
        <f t="shared" si="4"/>
        <v>7.4898387299688656</v>
      </c>
      <c r="G30" s="7">
        <f t="shared" si="3"/>
        <v>2.6892621463048272E-10</v>
      </c>
      <c r="I30" s="14">
        <v>9.5</v>
      </c>
      <c r="J30" s="16">
        <f t="shared" si="2"/>
        <v>-1160.820895104119</v>
      </c>
    </row>
    <row r="31" spans="2:10" x14ac:dyDescent="0.25">
      <c r="E31" s="3">
        <v>6</v>
      </c>
      <c r="F31" s="24">
        <f t="shared" si="4"/>
        <v>7.4898387299706366</v>
      </c>
      <c r="G31" s="7">
        <f t="shared" si="3"/>
        <v>5.6843418860808015E-14</v>
      </c>
      <c r="I31" s="14">
        <v>10</v>
      </c>
      <c r="J31" s="16">
        <f t="shared" si="2"/>
        <v>-2000.9579870417283</v>
      </c>
    </row>
    <row r="32" spans="2:10" x14ac:dyDescent="0.25">
      <c r="I32" s="11"/>
      <c r="J32" s="18"/>
    </row>
    <row r="33" spans="9:10" x14ac:dyDescent="0.25">
      <c r="I33" s="11"/>
      <c r="J33" s="18"/>
    </row>
    <row r="34" spans="9:10" x14ac:dyDescent="0.25">
      <c r="I34" s="11"/>
      <c r="J34" s="18"/>
    </row>
    <row r="35" spans="9:10" x14ac:dyDescent="0.25">
      <c r="I35" s="11"/>
      <c r="J35" s="18"/>
    </row>
    <row r="36" spans="9:10" x14ac:dyDescent="0.25">
      <c r="I36" s="11"/>
      <c r="J36" s="18"/>
    </row>
    <row r="37" spans="9:10" x14ac:dyDescent="0.25">
      <c r="I37" s="11"/>
      <c r="J37" s="18"/>
    </row>
    <row r="38" spans="9:10" x14ac:dyDescent="0.25">
      <c r="I38" s="11"/>
      <c r="J38" s="18"/>
    </row>
    <row r="39" spans="9:10" x14ac:dyDescent="0.25">
      <c r="I39" s="11"/>
      <c r="J39" s="18"/>
    </row>
    <row r="40" spans="9:10" x14ac:dyDescent="0.25">
      <c r="I40" s="11"/>
      <c r="J40" s="18"/>
    </row>
    <row r="41" spans="9:10" x14ac:dyDescent="0.25">
      <c r="I41" s="11"/>
      <c r="J41" s="18"/>
    </row>
    <row r="42" spans="9:10" x14ac:dyDescent="0.25">
      <c r="I42" s="11"/>
      <c r="J42" s="18"/>
    </row>
    <row r="43" spans="9:10" x14ac:dyDescent="0.25">
      <c r="I43" s="11"/>
      <c r="J43" s="18"/>
    </row>
    <row r="44" spans="9:10" x14ac:dyDescent="0.25">
      <c r="I44" s="11"/>
      <c r="J44" s="18"/>
    </row>
    <row r="45" spans="9:10" x14ac:dyDescent="0.25">
      <c r="I45" s="11"/>
      <c r="J45" s="18"/>
    </row>
    <row r="46" spans="9:10" x14ac:dyDescent="0.25">
      <c r="I46" s="11"/>
      <c r="J46" s="18"/>
    </row>
    <row r="47" spans="9:10" x14ac:dyDescent="0.25">
      <c r="I47" s="11"/>
      <c r="J47" s="18"/>
    </row>
    <row r="48" spans="9:10" x14ac:dyDescent="0.25">
      <c r="I48" s="11"/>
      <c r="J48" s="18"/>
    </row>
    <row r="49" spans="9:10" x14ac:dyDescent="0.25">
      <c r="I49" s="11"/>
      <c r="J49" s="18"/>
    </row>
    <row r="50" spans="9:10" x14ac:dyDescent="0.25">
      <c r="I50" s="11"/>
      <c r="J50" s="18"/>
    </row>
    <row r="51" spans="9:10" x14ac:dyDescent="0.25">
      <c r="I51" s="11"/>
      <c r="J51" s="18"/>
    </row>
    <row r="52" spans="9:10" x14ac:dyDescent="0.25">
      <c r="I52" s="11"/>
      <c r="J52" s="18"/>
    </row>
    <row r="53" spans="9:10" x14ac:dyDescent="0.25">
      <c r="I53" s="11"/>
      <c r="J53" s="18"/>
    </row>
    <row r="54" spans="9:10" x14ac:dyDescent="0.25">
      <c r="I54" s="11"/>
      <c r="J54" s="18"/>
    </row>
    <row r="55" spans="9:10" x14ac:dyDescent="0.25">
      <c r="I55" s="11"/>
      <c r="J55" s="18"/>
    </row>
    <row r="56" spans="9:10" x14ac:dyDescent="0.25">
      <c r="I56" s="11"/>
      <c r="J56" s="18"/>
    </row>
    <row r="57" spans="9:10" x14ac:dyDescent="0.25">
      <c r="I57" s="11"/>
      <c r="J57" s="18"/>
    </row>
    <row r="58" spans="9:10" x14ac:dyDescent="0.25">
      <c r="I58" s="11"/>
      <c r="J58" s="18"/>
    </row>
    <row r="59" spans="9:10" x14ac:dyDescent="0.25">
      <c r="I59" s="11"/>
      <c r="J59" s="18"/>
    </row>
  </sheetData>
  <mergeCells count="3">
    <mergeCell ref="B1:D2"/>
    <mergeCell ref="B9:C10"/>
    <mergeCell ref="B22:D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BISECCION</vt:lpstr>
      <vt:lpstr>NEWTON-RAPHSON</vt:lpstr>
      <vt:lpstr>SECANTE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2025-11-11T14:22:10Z</dcterms:created>
  <dcterms:modified xsi:type="dcterms:W3CDTF">2025-12-01T01:32:32Z</dcterms:modified>
</cp:coreProperties>
</file>